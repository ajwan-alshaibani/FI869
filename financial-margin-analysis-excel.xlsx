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mc:AlternateContent xmlns:mc="http://schemas.openxmlformats.org/markup-compatibility/2006">
    <mc:Choice Requires="x15">
      <x15ac:absPath xmlns:x15ac="http://schemas.microsoft.com/office/spreadsheetml/2010/11/ac" url="https://michiganstate-my.sharepoint.com/personal/hallgra3_msu_edu/Documents/"/>
    </mc:Choice>
  </mc:AlternateContent>
  <xr:revisionPtr revIDLastSave="0" documentId="8_{0DA612D0-7E4B-4348-BA0E-F9DA14FBA4A0}" xr6:coauthVersionLast="47" xr6:coauthVersionMax="47" xr10:uidLastSave="{00000000-0000-0000-0000-000000000000}"/>
  <bookViews>
    <workbookView xWindow="0" yWindow="500" windowWidth="28800" windowHeight="15720" xr2:uid="{00000000-000D-0000-FFFF-FFFF00000000}"/>
  </bookViews>
  <sheets>
    <sheet name="Valuation" sheetId="2" r:id="rId1"/>
    <sheet name="README" sheetId="3"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2" l="1"/>
  <c r="C36" i="2"/>
  <c r="C46" i="2"/>
  <c r="J22" i="2"/>
  <c r="L43" i="2"/>
  <c r="J3" i="2"/>
  <c r="C43" i="2"/>
  <c r="J43" i="2"/>
  <c r="J27" i="2"/>
  <c r="J25" i="2"/>
  <c r="J26" i="2"/>
  <c r="J12" i="2"/>
  <c r="J11" i="2"/>
  <c r="C26" i="2"/>
  <c r="O13" i="2"/>
  <c r="H43" i="2"/>
  <c r="C44" i="2"/>
  <c r="C45" i="2"/>
  <c r="F13" i="2"/>
  <c r="F11" i="2"/>
  <c r="H19" i="2"/>
  <c r="H21" i="2"/>
  <c r="G19" i="2"/>
  <c r="F19" i="2"/>
  <c r="E19" i="2"/>
  <c r="D19" i="2"/>
  <c r="D21" i="2"/>
  <c r="F12" i="2"/>
  <c r="F10" i="2"/>
  <c r="F9" i="2"/>
  <c r="F8" i="2"/>
  <c r="C14" i="2"/>
  <c r="J44" i="2"/>
  <c r="J32" i="2"/>
  <c r="L44" i="2"/>
  <c r="L31" i="2"/>
  <c r="L47" i="2"/>
  <c r="J21" i="2"/>
  <c r="J23" i="2"/>
  <c r="J35" i="2"/>
  <c r="J9" i="2"/>
  <c r="J10" i="2"/>
  <c r="L36" i="2"/>
  <c r="J13" i="2"/>
  <c r="J46" i="2"/>
  <c r="L46" i="2"/>
  <c r="J19" i="2"/>
  <c r="L35" i="2"/>
  <c r="J33" i="2"/>
  <c r="L37" i="2"/>
  <c r="L45" i="2"/>
  <c r="J8" i="2"/>
  <c r="J45" i="2"/>
  <c r="J37" i="2"/>
  <c r="J31" i="2"/>
  <c r="J36" i="2"/>
  <c r="O12" i="2"/>
  <c r="C32" i="2"/>
  <c r="E21" i="2"/>
  <c r="E23" i="2"/>
  <c r="F21" i="2"/>
  <c r="F23" i="2"/>
  <c r="G21" i="2"/>
  <c r="G23" i="2"/>
  <c r="D14" i="2"/>
  <c r="D13" i="2"/>
  <c r="D12" i="2"/>
  <c r="D11" i="2"/>
  <c r="D10" i="2"/>
  <c r="D9" i="2"/>
  <c r="D8" i="2"/>
  <c r="D23" i="2"/>
  <c r="C3" i="2"/>
  <c r="H22" i="2"/>
  <c r="H25" i="2"/>
  <c r="H31" i="2"/>
  <c r="H26" i="2"/>
  <c r="H27" i="2"/>
  <c r="H44" i="2"/>
  <c r="H45" i="2"/>
  <c r="H23" i="2"/>
  <c r="C25" i="2"/>
  <c r="C31" i="2"/>
  <c r="C33" i="2"/>
  <c r="C27" i="2"/>
  <c r="C35" i="2"/>
  <c r="C37" i="2"/>
  <c r="H47" i="2"/>
  <c r="H46" i="2"/>
  <c r="H35" i="2"/>
  <c r="M26" i="2"/>
  <c r="M25" i="2"/>
  <c r="H36" i="2"/>
  <c r="H37" i="2"/>
</calcChain>
</file>

<file path=xl/sharedStrings.xml><?xml version="1.0" encoding="utf-8"?>
<sst xmlns="http://schemas.openxmlformats.org/spreadsheetml/2006/main" count="75" uniqueCount="61">
  <si>
    <t>Model Inputs</t>
  </si>
  <si>
    <t>Tax Rate</t>
  </si>
  <si>
    <t xml:space="preserve">45.05% = 37.0%(Highest Federal tax Bracket)+4.25%(Michigan State Income Tax)+3.8%(Net Investment Income Tac,NIIT), local taxes (EL area is 1% cap gains tax) omitted </t>
  </si>
  <si>
    <t>High Leverage</t>
  </si>
  <si>
    <t>Low Leverage</t>
  </si>
  <si>
    <t>WACC</t>
  </si>
  <si>
    <t>Constant Terminal Growth</t>
  </si>
  <si>
    <t>Revenue growth stabilizes at this rate in the final years</t>
  </si>
  <si>
    <t>Page 3 of pdf, page 5 of document</t>
  </si>
  <si>
    <t>D</t>
  </si>
  <si>
    <t>Cost of Capital</t>
  </si>
  <si>
    <t>V</t>
  </si>
  <si>
    <t>Amount</t>
  </si>
  <si>
    <t>Weight</t>
  </si>
  <si>
    <t>Pre-Tax Rate</t>
  </si>
  <si>
    <t>After-Tax Rate</t>
  </si>
  <si>
    <t>Page 2 of pdf, page 4 of document</t>
  </si>
  <si>
    <t>Senior Debt LOC (Line of Credit)</t>
  </si>
  <si>
    <t>Senior Term A</t>
  </si>
  <si>
    <t>E</t>
  </si>
  <si>
    <t>Senior Term B</t>
  </si>
  <si>
    <t>Seller Note</t>
  </si>
  <si>
    <t>Equity</t>
  </si>
  <si>
    <t>Since this is a VC context, targeting a higher IRR is standard due to the risk profile.</t>
  </si>
  <si>
    <t>value</t>
  </si>
  <si>
    <t>Seller Rollover Equity</t>
  </si>
  <si>
    <t>debt</t>
  </si>
  <si>
    <t>Total</t>
  </si>
  <si>
    <t>equity</t>
  </si>
  <si>
    <t>Discounted Cash Flow Model (DCF Model)</t>
  </si>
  <si>
    <t>Year</t>
  </si>
  <si>
    <t>Cash From Operations</t>
  </si>
  <si>
    <t>After-Tax</t>
  </si>
  <si>
    <t xml:space="preserve">Low leverage creates more equity value (19.2 vs 6.8)  </t>
  </si>
  <si>
    <t>Capital Spending</t>
  </si>
  <si>
    <t xml:space="preserve">better for investors. IRR og 16.6% beats the market, so the deal is worth it. </t>
  </si>
  <si>
    <t>Free-Cash-Flow</t>
  </si>
  <si>
    <t>Terminal Value</t>
  </si>
  <si>
    <t>Total Cash Flow</t>
  </si>
  <si>
    <t>Value of Firm</t>
  </si>
  <si>
    <t>IRR</t>
  </si>
  <si>
    <t>Less: Debt</t>
  </si>
  <si>
    <t>Cash-on_Cash</t>
  </si>
  <si>
    <t>Intrinsic Equity</t>
  </si>
  <si>
    <t>Return Calculations</t>
  </si>
  <si>
    <t>…</t>
  </si>
  <si>
    <t>Total Value</t>
  </si>
  <si>
    <t>Paid Value</t>
  </si>
  <si>
    <t>Value Added (Destroyed)</t>
  </si>
  <si>
    <t>Equity Supplied</t>
  </si>
  <si>
    <t>Cash-on-Cash</t>
  </si>
  <si>
    <t>Simple Multiple Model</t>
  </si>
  <si>
    <t>Multiple</t>
  </si>
  <si>
    <t>times EBITDA</t>
  </si>
  <si>
    <t>EBITDA</t>
  </si>
  <si>
    <t>Value</t>
  </si>
  <si>
    <t>Summary and Recommendation</t>
  </si>
  <si>
    <t>Team1
Hall, Grace  (Team Leader)
hallgra3@msu.edu
A Alkhulaif, Tahani  
atahani@msu.edu
Heo, Sujeong  
heosujeo@msu.edu
Kim, Selan  
kimselan@msu.edu
Do, Jinuk  
dojinuk@msu.edu
Kwak, Seungjae  
kwakseun@msu.edu
Birck, Nathan Matthew
bircknat@msu.edu
Alshaibani, Ajwan Jafar H
alshaib2@msu.edu
Loomis, Will  
loomiswi@msu.edu</t>
  </si>
  <si>
    <t>[1] Team number 1</t>
  </si>
  <si>
    <t>[2] Presentation (link to video presentation: around 1-5 minutes) https://docs.google.com/videos/d/1xjDTmlBbDurdVXhYaSwyePOqxUge98OMIlnM_R9KL0M/edit?usp=sharing</t>
  </si>
  <si>
    <t>[3] Description or comments: In summary, we found the DCF method and return multiple methods to be consistent while the simple multiple method produced a far higher IRR and Cash-on-Cash valuation. Because of the consistency between it and the DCF calculations, we trust the return calculations model most. We recommend investing in this firm as the projected IRR is moderately better than the market rate and the 2.2x cash multiple over 5 years is worthwhile. While this only projects moderate growth, if the true values lie between those found in the simple multiple model and the others, the prospects are far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</si>
</sst>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164" formatCode="_(&quot;$&quot;* #,##0_);_(&quot;$&quot;* \(#,##0\);_(&quot;$&quot;* &quot;-&quot;??_);_(@_)"/>
    <numFmt numFmtId="165" formatCode="0.0%"/>
    <numFmt numFmtId="166" formatCode="0.0"/>
    <numFmt numFmtId="167" formatCode="_(&quot;$&quot;* #,##0.0_);_(&quot;$&quot;* \(#,##0.0\);_(&quot;$&quot;* &quot;-&quot;?_);_(@_)"/>
    <numFmt numFmtId="168" formatCode="_(* #,##0.0_);_(* \(#,##0.0\);_(* &quot;-&quot;?_);_(@_)"/>
    <numFmt numFmtId="169" formatCode="0.0&quot;X&quot;"/>
  </numFmts>
  <fonts count="13" x14ac:knownFonts="1">
    <font>
      <sz val="11"/>
      <color theme="1"/>
      <name val="Calibri"/>
      <family val="2"/>
      <scheme val="minor"/>
    </font>
    <font>
      <sz val="11"/>
      <color theme="1"/>
      <name val="Calibri"/>
      <family val="2"/>
      <scheme val="minor"/>
    </font>
    <font>
      <u/>
      <sz val="11"/>
      <color theme="1"/>
      <name val="Calibri"/>
      <family val="2"/>
      <scheme val="minor"/>
    </font>
    <font>
      <b/>
      <sz val="11"/>
      <color theme="0"/>
      <name val="Calibri"/>
      <family val="2"/>
      <scheme val="minor"/>
    </font>
    <font>
      <sz val="11"/>
      <name val="Calibri"/>
      <family val="2"/>
      <scheme val="minor"/>
    </font>
    <font>
      <sz val="11"/>
      <color rgb="FF0070C0"/>
      <name val="Calibri"/>
      <family val="2"/>
      <scheme val="minor"/>
    </font>
    <font>
      <i/>
      <sz val="11"/>
      <name val="Calibri"/>
      <family val="2"/>
    </font>
    <font>
      <sz val="11"/>
      <color rgb="FF00B0F0"/>
      <name val="Calibri"/>
      <family val="2"/>
    </font>
    <font>
      <b/>
      <sz val="11"/>
      <color theme="1"/>
      <name val="Calibri"/>
      <family val="2"/>
      <scheme val="minor"/>
    </font>
    <font>
      <sz val="11"/>
      <color rgb="FFFF0000"/>
      <name val="Calibri"/>
      <family val="2"/>
      <scheme val="minor"/>
    </font>
    <font>
      <sz val="11"/>
      <color rgb="FF000000"/>
      <name val="Calibri"/>
      <family val="2"/>
    </font>
    <font>
      <sz val="11"/>
      <color rgb="FF242424"/>
      <name val="Aptos Narrow"/>
    </font>
    <font>
      <sz val="11"/>
      <color rgb="FF00B0F0"/>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rgb="FFFFFF00"/>
        <bgColor indexed="64"/>
      </patternFill>
    </fill>
    <fill>
      <patternFill patternType="solid">
        <fgColor theme="0" tint="-0.24994659260841701"/>
        <bgColor indexed="64"/>
      </patternFill>
    </fill>
    <fill>
      <patternFill patternType="solid">
        <fgColor rgb="FF002060"/>
        <bgColor indexed="64"/>
      </patternFill>
    </fill>
    <fill>
      <patternFill patternType="solid">
        <fgColor theme="0" tint="-0.14999847407452621"/>
        <bgColor indexed="64"/>
      </patternFill>
    </fill>
  </fills>
  <borders count="20">
    <border>
      <left/>
      <right/>
      <top/>
      <bottom/>
      <diagonal/>
    </border>
    <border>
      <left style="thin">
        <color rgb="FF3F3F3F"/>
      </left>
      <right style="thin">
        <color rgb="FF3F3F3F"/>
      </right>
      <top style="thin">
        <color rgb="FF3F3F3F"/>
      </top>
      <bottom style="thin">
        <color rgb="FF3F3F3F"/>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rgb="FF000000"/>
      </bottom>
      <diagonal/>
    </border>
  </borders>
  <cellStyleXfs count="9">
    <xf numFmtId="0" fontId="0" fillId="0" borderId="0"/>
    <xf numFmtId="9" fontId="1" fillId="0" borderId="0" applyFont="0" applyFill="0" applyBorder="0" applyAlignment="0" applyProtection="0"/>
    <xf numFmtId="167" fontId="4" fillId="0" borderId="0" applyFont="0" applyFill="0" applyBorder="0" applyProtection="0"/>
    <xf numFmtId="0" fontId="1" fillId="2" borderId="0" applyNumberFormat="0" applyFont="0" applyBorder="0" applyAlignment="0" applyProtection="0"/>
    <xf numFmtId="165" fontId="5" fillId="3" borderId="3" applyNumberFormat="0" applyProtection="0"/>
    <xf numFmtId="0" fontId="1" fillId="4" borderId="0" applyNumberFormat="0" applyFont="0" applyBorder="0" applyAlignment="0" applyProtection="0"/>
    <xf numFmtId="0" fontId="3" fillId="5" borderId="0" applyNumberFormat="0" applyBorder="0">
      <alignment horizontal="centerContinuous"/>
    </xf>
    <xf numFmtId="165" fontId="6" fillId="0" borderId="0" applyFill="0" applyBorder="0" applyProtection="0"/>
    <xf numFmtId="168" fontId="4" fillId="0" borderId="0" applyFont="0" applyFill="0" applyBorder="0" applyProtection="0"/>
  </cellStyleXfs>
  <cellXfs count="52">
    <xf numFmtId="0" fontId="0" fillId="0" borderId="0" xfId="0"/>
    <xf numFmtId="10" fontId="0" fillId="0" borderId="0" xfId="0" applyNumberFormat="1"/>
    <xf numFmtId="10" fontId="0" fillId="0" borderId="0" xfId="1" applyNumberFormat="1" applyFont="1"/>
    <xf numFmtId="164" fontId="0" fillId="0" borderId="0" xfId="0" applyNumberFormat="1"/>
    <xf numFmtId="0" fontId="0" fillId="0" borderId="2" xfId="0" applyBorder="1" applyAlignment="1">
      <alignment horizontal="center"/>
    </xf>
    <xf numFmtId="164" fontId="5" fillId="3" borderId="3" xfId="4" applyNumberFormat="1"/>
    <xf numFmtId="0" fontId="0" fillId="4" borderId="0" xfId="5" applyFont="1"/>
    <xf numFmtId="164" fontId="0" fillId="4" borderId="0" xfId="5" applyNumberFormat="1" applyFont="1"/>
    <xf numFmtId="0" fontId="3" fillId="5" borderId="4" xfId="6" applyBorder="1">
      <alignment horizontal="centerContinuous"/>
    </xf>
    <xf numFmtId="0" fontId="3" fillId="5" borderId="5" xfId="6" applyBorder="1">
      <alignment horizontal="centerContinuous"/>
    </xf>
    <xf numFmtId="0" fontId="3" fillId="5" borderId="6" xfId="6" applyBorder="1">
      <alignment horizontal="centerContinuous"/>
    </xf>
    <xf numFmtId="0" fontId="0" fillId="0" borderId="7" xfId="0" applyBorder="1"/>
    <xf numFmtId="0" fontId="0" fillId="0" borderId="8" xfId="0" applyBorder="1"/>
    <xf numFmtId="0" fontId="0" fillId="0" borderId="9" xfId="0" applyBorder="1"/>
    <xf numFmtId="0" fontId="0" fillId="0" borderId="11" xfId="0" applyBorder="1"/>
    <xf numFmtId="165" fontId="6" fillId="2" borderId="0" xfId="7" applyFill="1" applyBorder="1"/>
    <xf numFmtId="10" fontId="0" fillId="0" borderId="8" xfId="1" applyNumberFormat="1" applyFont="1" applyBorder="1"/>
    <xf numFmtId="164" fontId="0" fillId="2" borderId="11" xfId="3" applyNumberFormat="1" applyFont="1" applyBorder="1"/>
    <xf numFmtId="10" fontId="0" fillId="0" borderId="12" xfId="0" applyNumberFormat="1" applyBorder="1"/>
    <xf numFmtId="0" fontId="0" fillId="0" borderId="13" xfId="0" applyBorder="1" applyAlignment="1">
      <alignment horizontal="center"/>
    </xf>
    <xf numFmtId="164" fontId="5" fillId="3" borderId="14" xfId="4" applyNumberFormat="1" applyBorder="1"/>
    <xf numFmtId="164" fontId="0" fillId="2" borderId="0" xfId="3" applyNumberFormat="1" applyFont="1" applyBorder="1"/>
    <xf numFmtId="164" fontId="0" fillId="2" borderId="8" xfId="3" applyNumberFormat="1" applyFont="1" applyBorder="1"/>
    <xf numFmtId="0" fontId="0" fillId="0" borderId="0" xfId="0" applyAlignment="1">
      <alignment horizontal="right"/>
    </xf>
    <xf numFmtId="164" fontId="0" fillId="2" borderId="12" xfId="3" applyNumberFormat="1" applyFont="1" applyBorder="1"/>
    <xf numFmtId="165" fontId="6" fillId="2" borderId="8" xfId="3" applyNumberFormat="1" applyFont="1" applyBorder="1"/>
    <xf numFmtId="169" fontId="0" fillId="2" borderId="12" xfId="3" applyNumberFormat="1" applyFont="1" applyBorder="1"/>
    <xf numFmtId="0" fontId="0" fillId="0" borderId="11" xfId="0" applyBorder="1" applyAlignment="1">
      <alignment horizontal="right"/>
    </xf>
    <xf numFmtId="0" fontId="0" fillId="4" borderId="0" xfId="5" applyFont="1" applyBorder="1"/>
    <xf numFmtId="168" fontId="5" fillId="3" borderId="3" xfId="8" applyFont="1" applyFill="1" applyBorder="1"/>
    <xf numFmtId="165" fontId="0" fillId="0" borderId="0" xfId="0" applyNumberFormat="1"/>
    <xf numFmtId="166" fontId="0" fillId="0" borderId="11" xfId="0" applyNumberFormat="1" applyBorder="1"/>
    <xf numFmtId="0" fontId="2" fillId="0" borderId="0" xfId="0" applyFont="1" applyAlignment="1">
      <alignment horizontal="center" wrapText="1"/>
    </xf>
    <xf numFmtId="165" fontId="5" fillId="3" borderId="3" xfId="4" applyNumberFormat="1"/>
    <xf numFmtId="165" fontId="5" fillId="3" borderId="10" xfId="4" applyNumberFormat="1" applyBorder="1"/>
    <xf numFmtId="0" fontId="0" fillId="0" borderId="16" xfId="0" applyBorder="1"/>
    <xf numFmtId="0" fontId="0" fillId="0" borderId="17" xfId="0" applyBorder="1"/>
    <xf numFmtId="0" fontId="0" fillId="0" borderId="18" xfId="0" applyBorder="1"/>
    <xf numFmtId="0" fontId="0" fillId="0" borderId="17" xfId="0" applyBorder="1" applyAlignment="1">
      <alignment horizontal="center"/>
    </xf>
    <xf numFmtId="0" fontId="0" fillId="0" borderId="15" xfId="0" applyBorder="1" applyAlignment="1">
      <alignment horizontal="center"/>
    </xf>
    <xf numFmtId="165" fontId="6" fillId="2" borderId="19" xfId="7" applyFill="1" applyBorder="1"/>
    <xf numFmtId="0" fontId="8" fillId="0" borderId="0" xfId="0" applyFont="1"/>
    <xf numFmtId="0" fontId="9" fillId="0" borderId="0" xfId="0" applyFont="1"/>
    <xf numFmtId="165" fontId="6" fillId="6" borderId="1" xfId="7" applyFill="1" applyBorder="1"/>
    <xf numFmtId="49" fontId="7" fillId="0" borderId="0" xfId="0" applyNumberFormat="1" applyFont="1"/>
    <xf numFmtId="6" fontId="10" fillId="0" borderId="0" xfId="0" applyNumberFormat="1" applyFont="1"/>
    <xf numFmtId="6" fontId="11" fillId="0" borderId="0" xfId="0" applyNumberFormat="1" applyFont="1"/>
    <xf numFmtId="10" fontId="12" fillId="0" borderId="0" xfId="0" applyNumberFormat="1" applyFont="1"/>
    <xf numFmtId="165" fontId="6" fillId="2" borderId="0" xfId="3" applyNumberFormat="1" applyFont="1" applyBorder="1"/>
    <xf numFmtId="169" fontId="0" fillId="2" borderId="0" xfId="3" applyNumberFormat="1" applyFont="1" applyBorder="1"/>
    <xf numFmtId="0" fontId="0" fillId="0" borderId="0" xfId="0" applyAlignment="1">
      <alignment wrapText="1"/>
    </xf>
    <xf numFmtId="49" fontId="0" fillId="0" borderId="0" xfId="0" applyNumberFormat="1" applyAlignment="1">
      <alignment wrapText="1"/>
    </xf>
  </cellXfs>
  <cellStyles count="9">
    <cellStyle name="$ Value" xfId="2" xr:uid="{58BCA27C-76EF-44B9-ADA6-4E4DCAF2322C}"/>
    <cellStyle name="Answer" xfId="3" xr:uid="{740F99BD-50B0-423F-9138-EEAE9388C9CC}"/>
    <cellStyle name="FIN Input" xfId="4" xr:uid="{428FEADB-0F40-429F-9911-955082B4FF24}"/>
    <cellStyle name="Formula Text" xfId="5" xr:uid="{6B64077A-50D1-4536-B8AA-48719324189F}"/>
    <cellStyle name="Header" xfId="6" xr:uid="{9C40A4D5-CFB8-4819-AD9D-146AB63ABF4A}"/>
    <cellStyle name="Normal" xfId="0" builtinId="0"/>
    <cellStyle name="Percent" xfId="1" builtinId="5"/>
    <cellStyle name="Percentage" xfId="7" xr:uid="{4C557FFA-7329-4249-9F7A-948A9D05C730}"/>
    <cellStyle name="Value" xfId="8" xr:uid="{0CA9173F-A584-4BC4-A633-693E377DB7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117928</xdr:colOff>
      <xdr:row>49</xdr:row>
      <xdr:rowOff>72571</xdr:rowOff>
    </xdr:from>
    <xdr:to>
      <xdr:col>6</xdr:col>
      <xdr:colOff>72572</xdr:colOff>
      <xdr:row>59</xdr:row>
      <xdr:rowOff>63500</xdr:rowOff>
    </xdr:to>
    <xdr:sp macro="" textlink="">
      <xdr:nvSpPr>
        <xdr:cNvPr id="14" name="TextBox 1">
          <a:extLst>
            <a:ext uri="{FF2B5EF4-FFF2-40B4-BE49-F238E27FC236}">
              <a16:creationId xmlns:a16="http://schemas.microsoft.com/office/drawing/2014/main" id="{D67983F5-0448-38C7-A4C6-47D5678A30D6}"/>
            </a:ext>
          </a:extLst>
        </xdr:cNvPr>
        <xdr:cNvSpPr txBox="1"/>
      </xdr:nvSpPr>
      <xdr:spPr>
        <a:xfrm>
          <a:off x="408214" y="9534071"/>
          <a:ext cx="5914572" cy="1895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In summary, we found the DCF method and return multiple methods to be consistent while the simple multiple method produced a far higher IRR and Cash-on-Cash valuation. Because of the consistency between it and the DCF calculations, we trust the return calculations model most. We recommend investing in this firm as the projected IRR is moderately better than the market rate and the 2.2x cash multiple over 5 years is worthwhile. While this only projects moderate growth, if the true values lie between those found in the simple multiple model and the others, the prospects are far better.</a:t>
          </a:r>
        </a:p>
      </xdr:txBody>
    </xdr:sp>
    <xdr:clientData/>
  </xdr:twoCellAnchor>
  <xdr:twoCellAnchor editAs="oneCell">
    <xdr:from>
      <xdr:col>18</xdr:col>
      <xdr:colOff>323850</xdr:colOff>
      <xdr:row>0</xdr:row>
      <xdr:rowOff>152400</xdr:rowOff>
    </xdr:from>
    <xdr:to>
      <xdr:col>27</xdr:col>
      <xdr:colOff>38100</xdr:colOff>
      <xdr:row>17</xdr:row>
      <xdr:rowOff>171450</xdr:rowOff>
    </xdr:to>
    <xdr:pic>
      <xdr:nvPicPr>
        <xdr:cNvPr id="5" name="Picture 6">
          <a:extLst>
            <a:ext uri="{FF2B5EF4-FFF2-40B4-BE49-F238E27FC236}">
              <a16:creationId xmlns:a16="http://schemas.microsoft.com/office/drawing/2014/main" id="{7560B103-B7C9-F246-0A23-CEDFA36DB744}"/>
            </a:ext>
            <a:ext uri="{147F2762-F138-4A5C-976F-8EAC2B608ADB}">
              <a16:predDERef xmlns:a16="http://schemas.microsoft.com/office/drawing/2014/main" pred="{D67983F5-0448-38C7-A4C6-47D5678A30D6}"/>
            </a:ext>
          </a:extLst>
        </xdr:cNvPr>
        <xdr:cNvPicPr>
          <a:picLocks noChangeAspect="1"/>
        </xdr:cNvPicPr>
      </xdr:nvPicPr>
      <xdr:blipFill>
        <a:blip xmlns:r="http://schemas.openxmlformats.org/officeDocument/2006/relationships" r:embed="rId1"/>
        <a:stretch>
          <a:fillRect/>
        </a:stretch>
      </xdr:blipFill>
      <xdr:spPr>
        <a:xfrm>
          <a:off x="15992475" y="152400"/>
          <a:ext cx="5029200" cy="3286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64"/>
  <sheetViews>
    <sheetView tabSelected="1" zoomScale="140" zoomScaleNormal="140" workbookViewId="0">
      <selection activeCell="W34" sqref="W34"/>
    </sheetView>
  </sheetViews>
  <sheetFormatPr baseColWidth="10" defaultColWidth="8.83203125" defaultRowHeight="15" x14ac:dyDescent="0.2"/>
  <cols>
    <col min="1" max="1" width="3.83203125" customWidth="1"/>
    <col min="2" max="2" width="29.1640625" customWidth="1"/>
    <col min="3" max="3" width="12.1640625" bestFit="1" customWidth="1"/>
    <col min="4" max="4" width="14.6640625" bestFit="1" customWidth="1"/>
    <col min="5" max="5" width="12.6640625" bestFit="1" customWidth="1"/>
    <col min="6" max="7" width="14.33203125" bestFit="1" customWidth="1"/>
    <col min="8" max="8" width="14.1640625" customWidth="1"/>
    <col min="9" max="9" width="3.83203125" customWidth="1"/>
    <col min="10" max="10" width="31.5" bestFit="1" customWidth="1"/>
    <col min="12" max="12" width="22.5" bestFit="1" customWidth="1"/>
  </cols>
  <sheetData>
    <row r="1" spans="2:18" x14ac:dyDescent="0.2">
      <c r="B1" s="8" t="s">
        <v>0</v>
      </c>
      <c r="C1" s="9"/>
      <c r="D1" s="9"/>
      <c r="E1" s="9"/>
      <c r="F1" s="9"/>
      <c r="G1" s="9"/>
      <c r="H1" s="10"/>
    </row>
    <row r="2" spans="2:18" x14ac:dyDescent="0.2">
      <c r="B2" s="11" t="s">
        <v>1</v>
      </c>
      <c r="C2" s="33">
        <v>0.45050000000000001</v>
      </c>
      <c r="D2" s="44" t="s">
        <v>2</v>
      </c>
      <c r="H2" s="12"/>
      <c r="N2" t="s">
        <v>3</v>
      </c>
      <c r="Q2" t="s">
        <v>4</v>
      </c>
    </row>
    <row r="3" spans="2:18" x14ac:dyDescent="0.2">
      <c r="B3" s="11" t="s">
        <v>5</v>
      </c>
      <c r="C3" s="43">
        <f>SUMPRODUCT(D8:D13,F8:F13)</f>
        <v>0.1414758708725746</v>
      </c>
      <c r="H3" s="12"/>
      <c r="J3" s="6" t="str">
        <f ca="1">_xlfn.FORMULATEXT(C3)</f>
        <v>=SUMPRODUCT(D8:D13,F8:F13)</v>
      </c>
    </row>
    <row r="4" spans="2:18" x14ac:dyDescent="0.2">
      <c r="B4" s="13" t="s">
        <v>6</v>
      </c>
      <c r="C4" s="34">
        <v>0.06</v>
      </c>
      <c r="D4" s="44" t="s">
        <v>7</v>
      </c>
      <c r="F4" s="41"/>
      <c r="H4" s="12"/>
      <c r="J4" t="s">
        <v>8</v>
      </c>
      <c r="N4" s="35"/>
      <c r="O4" s="35"/>
      <c r="Q4" s="35"/>
      <c r="R4" s="35"/>
    </row>
    <row r="5" spans="2:18" ht="16" thickBot="1" x14ac:dyDescent="0.25">
      <c r="B5" s="11"/>
      <c r="H5" s="12"/>
      <c r="N5" s="36"/>
      <c r="O5" s="36"/>
      <c r="Q5" s="36"/>
      <c r="R5" s="38" t="s">
        <v>9</v>
      </c>
    </row>
    <row r="6" spans="2:18" ht="16" thickBot="1" x14ac:dyDescent="0.25">
      <c r="B6" s="8" t="s">
        <v>10</v>
      </c>
      <c r="C6" s="9"/>
      <c r="D6" s="9"/>
      <c r="E6" s="9"/>
      <c r="F6" s="9"/>
      <c r="H6" s="12"/>
      <c r="N6" s="38" t="s">
        <v>11</v>
      </c>
      <c r="O6" s="38" t="s">
        <v>9</v>
      </c>
      <c r="Q6" s="36"/>
      <c r="R6" s="37">
        <v>3.4</v>
      </c>
    </row>
    <row r="7" spans="2:18" ht="16" x14ac:dyDescent="0.2">
      <c r="B7" s="11"/>
      <c r="C7" s="32" t="s">
        <v>12</v>
      </c>
      <c r="D7" s="32" t="s">
        <v>13</v>
      </c>
      <c r="E7" s="32" t="s">
        <v>14</v>
      </c>
      <c r="F7" s="32" t="s">
        <v>15</v>
      </c>
      <c r="H7" s="12"/>
      <c r="J7" t="s">
        <v>16</v>
      </c>
      <c r="N7" s="36">
        <v>13.8</v>
      </c>
      <c r="O7" s="36">
        <v>7</v>
      </c>
      <c r="Q7" s="36"/>
      <c r="R7" s="35"/>
    </row>
    <row r="8" spans="2:18" x14ac:dyDescent="0.2">
      <c r="B8" s="11" t="s">
        <v>17</v>
      </c>
      <c r="C8" s="5">
        <v>0</v>
      </c>
      <c r="D8" s="15">
        <f>C8/$C$14</f>
        <v>0</v>
      </c>
      <c r="E8" s="33">
        <v>3.2500000000000001E-2</v>
      </c>
      <c r="F8" s="15">
        <f>E8*(1-$C$2)</f>
        <v>1.785875E-2</v>
      </c>
      <c r="H8" s="16"/>
      <c r="J8" s="6" t="str">
        <f t="shared" ref="J8:J13" ca="1" si="0">_xlfn.FORMULATEXT(F8)</f>
        <v>=E8*(1-$C$2)</v>
      </c>
      <c r="N8" s="36"/>
      <c r="O8" s="37"/>
      <c r="Q8" s="36"/>
      <c r="R8" s="36"/>
    </row>
    <row r="9" spans="2:18" x14ac:dyDescent="0.2">
      <c r="B9" s="11" t="s">
        <v>18</v>
      </c>
      <c r="C9" s="5">
        <v>4370</v>
      </c>
      <c r="D9" s="15">
        <f t="shared" ref="D9:D14" si="1">C9/$C$14</f>
        <v>0.24792919550663792</v>
      </c>
      <c r="E9" s="33">
        <v>0.1</v>
      </c>
      <c r="F9" s="15">
        <f>E9*(1-$C$2)</f>
        <v>5.4949999999999999E-2</v>
      </c>
      <c r="H9" s="16"/>
      <c r="J9" s="6" t="str">
        <f t="shared" ca="1" si="0"/>
        <v>=E9*(1-$C$2)</v>
      </c>
      <c r="N9" s="37"/>
      <c r="O9" s="39" t="s">
        <v>19</v>
      </c>
      <c r="Q9" s="38" t="s">
        <v>11</v>
      </c>
      <c r="R9" s="36"/>
    </row>
    <row r="10" spans="2:18" x14ac:dyDescent="0.2">
      <c r="B10" s="11" t="s">
        <v>20</v>
      </c>
      <c r="C10" s="5">
        <v>6380</v>
      </c>
      <c r="D10" s="15">
        <f t="shared" si="1"/>
        <v>0.36196527856575511</v>
      </c>
      <c r="E10" s="33">
        <v>0.12</v>
      </c>
      <c r="F10" s="15">
        <f>E10*(1-$C$2)</f>
        <v>6.5939999999999999E-2</v>
      </c>
      <c r="H10" s="16"/>
      <c r="J10" s="6" t="str">
        <f t="shared" ca="1" si="0"/>
        <v>=E10*(1-$C$2)</v>
      </c>
      <c r="O10">
        <v>6.8</v>
      </c>
      <c r="Q10" s="36">
        <v>22.6</v>
      </c>
      <c r="R10" s="38" t="s">
        <v>19</v>
      </c>
    </row>
    <row r="11" spans="2:18" x14ac:dyDescent="0.2">
      <c r="B11" s="11" t="s">
        <v>21</v>
      </c>
      <c r="C11" s="5">
        <v>2500</v>
      </c>
      <c r="D11" s="15">
        <f t="shared" si="1"/>
        <v>0.1418359242028821</v>
      </c>
      <c r="E11" s="33">
        <v>0.06</v>
      </c>
      <c r="F11" s="15">
        <f>E11*(1-$C$2)</f>
        <v>3.2969999999999999E-2</v>
      </c>
      <c r="H11" s="16"/>
      <c r="J11" s="6" t="str">
        <f t="shared" ca="1" si="0"/>
        <v>=E11*(1-$C$2)</v>
      </c>
      <c r="Q11" s="36"/>
      <c r="R11" s="38"/>
    </row>
    <row r="12" spans="2:18" x14ac:dyDescent="0.2">
      <c r="B12" s="11" t="s">
        <v>22</v>
      </c>
      <c r="C12" s="5">
        <v>4000</v>
      </c>
      <c r="D12" s="15">
        <f t="shared" si="1"/>
        <v>0.22693747872461137</v>
      </c>
      <c r="E12" s="33">
        <v>0.4</v>
      </c>
      <c r="F12" s="15">
        <f>E12</f>
        <v>0.4</v>
      </c>
      <c r="G12" s="47" t="s">
        <v>23</v>
      </c>
      <c r="H12" s="16"/>
      <c r="J12" s="6" t="str">
        <f t="shared" ca="1" si="0"/>
        <v>=E12</v>
      </c>
      <c r="N12" t="s">
        <v>24</v>
      </c>
      <c r="O12" s="3">
        <f>C14</f>
        <v>17626</v>
      </c>
      <c r="Q12" s="36"/>
      <c r="R12" s="38"/>
    </row>
    <row r="13" spans="2:18" x14ac:dyDescent="0.2">
      <c r="B13" s="11" t="s">
        <v>25</v>
      </c>
      <c r="C13" s="5">
        <v>376</v>
      </c>
      <c r="D13" s="15">
        <f t="shared" si="1"/>
        <v>2.133212300011347E-2</v>
      </c>
      <c r="E13" s="33">
        <v>0.4</v>
      </c>
      <c r="F13" s="15">
        <f>E13</f>
        <v>0.4</v>
      </c>
      <c r="H13" s="16"/>
      <c r="J13" s="6" t="str">
        <f t="shared" ca="1" si="0"/>
        <v>=E13</v>
      </c>
      <c r="N13" t="s">
        <v>26</v>
      </c>
      <c r="O13" s="3">
        <f>C26</f>
        <v>13250</v>
      </c>
      <c r="Q13" s="36"/>
      <c r="R13" s="36">
        <v>19.2</v>
      </c>
    </row>
    <row r="14" spans="2:18" x14ac:dyDescent="0.2">
      <c r="B14" s="13" t="s">
        <v>27</v>
      </c>
      <c r="C14" s="17">
        <f>SUM(C8:C13)</f>
        <v>17626</v>
      </c>
      <c r="D14" s="40">
        <f t="shared" si="1"/>
        <v>1</v>
      </c>
      <c r="E14" s="14"/>
      <c r="F14" s="14"/>
      <c r="G14" s="14"/>
      <c r="H14" s="18"/>
      <c r="N14" t="s">
        <v>28</v>
      </c>
      <c r="O14" s="3">
        <f>C12+C13</f>
        <v>4376</v>
      </c>
      <c r="Q14" s="36"/>
      <c r="R14" s="36"/>
    </row>
    <row r="15" spans="2:18" x14ac:dyDescent="0.2">
      <c r="D15" s="3"/>
      <c r="E15" s="2"/>
      <c r="H15" s="1"/>
      <c r="Q15" s="37"/>
      <c r="R15" s="37"/>
    </row>
    <row r="16" spans="2:18" x14ac:dyDescent="0.2">
      <c r="B16" s="8" t="s">
        <v>29</v>
      </c>
      <c r="C16" s="9"/>
      <c r="D16" s="9"/>
      <c r="E16" s="9"/>
      <c r="F16" s="9"/>
      <c r="G16" s="9"/>
      <c r="H16" s="10"/>
    </row>
    <row r="17" spans="2:20" x14ac:dyDescent="0.2">
      <c r="B17" s="11" t="s">
        <v>30</v>
      </c>
      <c r="C17" s="4">
        <v>0</v>
      </c>
      <c r="D17" s="4">
        <v>1</v>
      </c>
      <c r="E17" s="4">
        <v>2</v>
      </c>
      <c r="F17" s="4">
        <v>3</v>
      </c>
      <c r="G17" s="4">
        <v>4</v>
      </c>
      <c r="H17" s="19">
        <v>5</v>
      </c>
    </row>
    <row r="18" spans="2:20" x14ac:dyDescent="0.2">
      <c r="B18" s="11" t="s">
        <v>31</v>
      </c>
      <c r="D18" s="5">
        <v>1609</v>
      </c>
      <c r="E18" s="5">
        <v>1824</v>
      </c>
      <c r="F18" s="5">
        <v>2219</v>
      </c>
      <c r="G18" s="5">
        <v>2493</v>
      </c>
      <c r="H18" s="20">
        <v>2729</v>
      </c>
    </row>
    <row r="19" spans="2:20" x14ac:dyDescent="0.2">
      <c r="B19" s="11" t="s">
        <v>32</v>
      </c>
      <c r="D19" s="21">
        <f>D18*(1-$C$2)</f>
        <v>884.14549999999997</v>
      </c>
      <c r="E19" s="21">
        <f t="shared" ref="E19:H19" si="2">E18*(1-$C$2)</f>
        <v>1002.288</v>
      </c>
      <c r="F19" s="21">
        <f t="shared" si="2"/>
        <v>1219.3405</v>
      </c>
      <c r="G19" s="21">
        <f t="shared" si="2"/>
        <v>1369.9034999999999</v>
      </c>
      <c r="H19" s="22">
        <f t="shared" si="2"/>
        <v>1499.5854999999999</v>
      </c>
      <c r="J19" s="7" t="str">
        <f ca="1">_xlfn.FORMULATEXT(H19)</f>
        <v>=H18*(1-$C$2)</v>
      </c>
      <c r="T19" t="s">
        <v>33</v>
      </c>
    </row>
    <row r="20" spans="2:20" x14ac:dyDescent="0.2">
      <c r="B20" s="11" t="s">
        <v>34</v>
      </c>
      <c r="D20" s="5">
        <v>-250</v>
      </c>
      <c r="E20" s="5">
        <v>-150</v>
      </c>
      <c r="F20" s="5">
        <v>-150</v>
      </c>
      <c r="G20" s="5">
        <v>-150</v>
      </c>
      <c r="H20" s="20">
        <v>-150</v>
      </c>
      <c r="T20" t="s">
        <v>35</v>
      </c>
    </row>
    <row r="21" spans="2:20" x14ac:dyDescent="0.2">
      <c r="B21" s="11" t="s">
        <v>36</v>
      </c>
      <c r="D21" s="21">
        <f>D19+D20</f>
        <v>634.14549999999997</v>
      </c>
      <c r="E21" s="21">
        <f t="shared" ref="E21:H21" si="3">E19+E20</f>
        <v>852.28800000000001</v>
      </c>
      <c r="F21" s="21">
        <f t="shared" si="3"/>
        <v>1069.3405</v>
      </c>
      <c r="G21" s="21">
        <f t="shared" si="3"/>
        <v>1219.9034999999999</v>
      </c>
      <c r="H21" s="21">
        <f t="shared" si="3"/>
        <v>1349.5854999999999</v>
      </c>
      <c r="J21" s="7" t="str">
        <f t="shared" ref="J21:J27" ca="1" si="4">_xlfn.FORMULATEXT(H21)</f>
        <v>=H19+H20</v>
      </c>
    </row>
    <row r="22" spans="2:20" x14ac:dyDescent="0.2">
      <c r="B22" s="11" t="s">
        <v>37</v>
      </c>
      <c r="D22" s="3"/>
      <c r="E22" s="3"/>
      <c r="F22" s="3"/>
      <c r="G22" s="23"/>
      <c r="H22" s="22">
        <f>(H21*(1+C4))/(C3-C4)</f>
        <v>17558.089464761248</v>
      </c>
      <c r="J22" s="7" t="str">
        <f ca="1">_xlfn.FORMULATEXT(H22)</f>
        <v>=(H21*(1+C4))/(C3-C4)</v>
      </c>
    </row>
    <row r="23" spans="2:20" x14ac:dyDescent="0.2">
      <c r="B23" s="11" t="s">
        <v>38</v>
      </c>
      <c r="D23" s="21">
        <f>D21+D22</f>
        <v>634.14549999999997</v>
      </c>
      <c r="E23" s="21">
        <f>E21+E22</f>
        <v>852.28800000000001</v>
      </c>
      <c r="F23" s="21">
        <f>F21+F22</f>
        <v>1069.3405</v>
      </c>
      <c r="G23" s="21">
        <f>G21+G22</f>
        <v>1219.9034999999999</v>
      </c>
      <c r="H23" s="22">
        <f>H21+H22</f>
        <v>18907.674964761249</v>
      </c>
      <c r="J23" s="7" t="str">
        <f t="shared" ca="1" si="4"/>
        <v>=H21+H22</v>
      </c>
    </row>
    <row r="24" spans="2:20" x14ac:dyDescent="0.2">
      <c r="B24" s="11"/>
      <c r="H24" s="12"/>
      <c r="M24" s="3"/>
    </row>
    <row r="25" spans="2:20" x14ac:dyDescent="0.2">
      <c r="B25" s="11" t="s">
        <v>39</v>
      </c>
      <c r="C25" s="21">
        <f>NPV(C3,D23:H23)</f>
        <v>12403.926499000274</v>
      </c>
      <c r="E25" s="3"/>
      <c r="F25" s="3"/>
      <c r="G25" s="3"/>
      <c r="H25" s="22">
        <f>H22</f>
        <v>17558.089464761248</v>
      </c>
      <c r="J25" s="7" t="str">
        <f t="shared" ca="1" si="4"/>
        <v>=H22</v>
      </c>
      <c r="L25" t="s">
        <v>40</v>
      </c>
      <c r="M25" s="48">
        <f>RATE(H17,0,-C36,H27)</f>
        <v>0.16605154749982437</v>
      </c>
    </row>
    <row r="26" spans="2:20" x14ac:dyDescent="0.2">
      <c r="B26" s="11" t="s">
        <v>41</v>
      </c>
      <c r="C26" s="21">
        <f>SUM(C8:C11)</f>
        <v>13250</v>
      </c>
      <c r="H26" s="22">
        <f>C26-SUM(D21:H21)</f>
        <v>8124.7370000000001</v>
      </c>
      <c r="J26" s="7" t="str">
        <f t="shared" ca="1" si="4"/>
        <v>=C26-SUM(D21:H21)</v>
      </c>
      <c r="L26" t="s">
        <v>42</v>
      </c>
      <c r="M26" s="49">
        <f>H27/C36</f>
        <v>2.1557021171757875</v>
      </c>
    </row>
    <row r="27" spans="2:20" x14ac:dyDescent="0.2">
      <c r="B27" s="13" t="s">
        <v>43</v>
      </c>
      <c r="C27" s="17">
        <f>C25-C26</f>
        <v>-846.07350099972609</v>
      </c>
      <c r="D27" s="14"/>
      <c r="E27" s="14"/>
      <c r="F27" s="14"/>
      <c r="G27" s="14"/>
      <c r="H27" s="24">
        <f>H25-H26</f>
        <v>9433.3524647612467</v>
      </c>
      <c r="J27" s="7" t="str">
        <f t="shared" ca="1" si="4"/>
        <v>=H25-H26</v>
      </c>
    </row>
    <row r="28" spans="2:20" ht="16" thickBot="1" x14ac:dyDescent="0.25"/>
    <row r="29" spans="2:20" x14ac:dyDescent="0.2">
      <c r="B29" s="8" t="s">
        <v>44</v>
      </c>
      <c r="C29" s="9"/>
      <c r="D29" s="9"/>
      <c r="E29" s="9"/>
      <c r="F29" s="9"/>
      <c r="G29" s="9"/>
      <c r="H29" s="10"/>
    </row>
    <row r="30" spans="2:20" x14ac:dyDescent="0.2">
      <c r="B30" s="11" t="s">
        <v>30</v>
      </c>
      <c r="C30" s="4">
        <v>0</v>
      </c>
      <c r="D30" s="4">
        <v>1</v>
      </c>
      <c r="E30" s="4">
        <v>2</v>
      </c>
      <c r="F30" s="4">
        <v>3</v>
      </c>
      <c r="G30" s="4">
        <v>4</v>
      </c>
      <c r="H30" s="19">
        <v>5</v>
      </c>
      <c r="J30" s="4">
        <v>1</v>
      </c>
      <c r="K30" s="4" t="s">
        <v>45</v>
      </c>
      <c r="L30" s="4">
        <v>5</v>
      </c>
    </row>
    <row r="31" spans="2:20" x14ac:dyDescent="0.2">
      <c r="B31" s="11" t="s">
        <v>46</v>
      </c>
      <c r="C31" s="21">
        <f>C25</f>
        <v>12403.926499000274</v>
      </c>
      <c r="H31" s="22">
        <f>H25</f>
        <v>17558.089464761248</v>
      </c>
      <c r="J31" s="28" t="str">
        <f ca="1">_xlfn.FORMULATEXT(C31)</f>
        <v>=C25</v>
      </c>
      <c r="L31" s="7" t="str">
        <f ca="1">_xlfn.FORMULATEXT(H31)</f>
        <v>=H25</v>
      </c>
    </row>
    <row r="32" spans="2:20" x14ac:dyDescent="0.2">
      <c r="B32" s="11" t="s">
        <v>47</v>
      </c>
      <c r="C32" s="21">
        <f>C14</f>
        <v>17626</v>
      </c>
      <c r="H32" s="12"/>
      <c r="J32" s="28" t="str">
        <f ca="1">_xlfn.FORMULATEXT(C32)</f>
        <v>=C14</v>
      </c>
    </row>
    <row r="33" spans="2:12" x14ac:dyDescent="0.2">
      <c r="B33" s="11" t="s">
        <v>48</v>
      </c>
      <c r="C33" s="21">
        <f>C31-C32</f>
        <v>-5222.0735009997261</v>
      </c>
      <c r="H33" s="12"/>
      <c r="J33" s="28" t="str">
        <f ca="1">_xlfn.FORMULATEXT(C33)</f>
        <v>=C31-C32</v>
      </c>
    </row>
    <row r="34" spans="2:12" x14ac:dyDescent="0.2">
      <c r="B34" s="11"/>
      <c r="H34" s="12"/>
    </row>
    <row r="35" spans="2:12" x14ac:dyDescent="0.2">
      <c r="B35" s="11" t="s">
        <v>43</v>
      </c>
      <c r="C35" s="21">
        <f>C27</f>
        <v>-846.07350099972609</v>
      </c>
      <c r="H35" s="22">
        <f>H27</f>
        <v>9433.3524647612467</v>
      </c>
      <c r="J35" s="28" t="str">
        <f ca="1">_xlfn.FORMULATEXT(C35)</f>
        <v>=C27</v>
      </c>
      <c r="L35" s="7" t="str">
        <f ca="1">_xlfn.FORMULATEXT(H35)</f>
        <v>=H27</v>
      </c>
    </row>
    <row r="36" spans="2:12" x14ac:dyDescent="0.2">
      <c r="B36" s="11" t="s">
        <v>49</v>
      </c>
      <c r="C36" s="21">
        <f>SUM(C12:C13)</f>
        <v>4376</v>
      </c>
      <c r="G36" s="23" t="s">
        <v>40</v>
      </c>
      <c r="H36" s="25">
        <f>RATE(H30,0,-C36,H35)</f>
        <v>0.16605154749982437</v>
      </c>
      <c r="J36" s="28" t="str">
        <f ca="1">_xlfn.FORMULATEXT(C36)</f>
        <v>=SUM(C12:C13)</v>
      </c>
      <c r="L36" s="7" t="str">
        <f ca="1">_xlfn.FORMULATEXT(H36)</f>
        <v>=RATE(H30,0,-C36,H35)</v>
      </c>
    </row>
    <row r="37" spans="2:12" ht="16" thickBot="1" x14ac:dyDescent="0.25">
      <c r="B37" s="13" t="s">
        <v>48</v>
      </c>
      <c r="C37" s="17">
        <f>C35-C36</f>
        <v>-5222.0735009997261</v>
      </c>
      <c r="D37" s="14"/>
      <c r="E37" s="14"/>
      <c r="F37" s="14"/>
      <c r="G37" s="27" t="s">
        <v>50</v>
      </c>
      <c r="H37" s="26">
        <f>H35/C36</f>
        <v>2.1557021171757875</v>
      </c>
      <c r="J37" s="28" t="str">
        <f ca="1">_xlfn.FORMULATEXT(C37)</f>
        <v>=C35-C36</v>
      </c>
      <c r="L37" s="7" t="str">
        <f ca="1">_xlfn.FORMULATEXT(H37)</f>
        <v>=H35/C36</v>
      </c>
    </row>
    <row r="38" spans="2:12" ht="16" thickBot="1" x14ac:dyDescent="0.25"/>
    <row r="39" spans="2:12" x14ac:dyDescent="0.2">
      <c r="B39" s="8" t="s">
        <v>51</v>
      </c>
      <c r="C39" s="9"/>
      <c r="D39" s="9"/>
      <c r="E39" s="9"/>
      <c r="F39" s="9"/>
      <c r="G39" s="9"/>
      <c r="H39" s="10"/>
    </row>
    <row r="40" spans="2:12" x14ac:dyDescent="0.2">
      <c r="B40" s="11" t="s">
        <v>52</v>
      </c>
      <c r="C40" s="29">
        <v>13.66</v>
      </c>
      <c r="D40" t="s">
        <v>53</v>
      </c>
      <c r="E40" s="42"/>
      <c r="H40" s="12"/>
    </row>
    <row r="41" spans="2:12" x14ac:dyDescent="0.2">
      <c r="B41" s="11" t="s">
        <v>30</v>
      </c>
      <c r="C41" s="4">
        <v>0</v>
      </c>
      <c r="D41" s="4">
        <v>1</v>
      </c>
      <c r="E41" s="4">
        <v>2</v>
      </c>
      <c r="F41" s="4">
        <v>3</v>
      </c>
      <c r="G41" s="4">
        <v>4</v>
      </c>
      <c r="H41" s="19">
        <v>5</v>
      </c>
      <c r="J41" s="4">
        <v>0</v>
      </c>
      <c r="K41" s="4" t="s">
        <v>45</v>
      </c>
      <c r="L41" s="4">
        <v>5</v>
      </c>
    </row>
    <row r="42" spans="2:12" x14ac:dyDescent="0.2">
      <c r="B42" s="11" t="s">
        <v>54</v>
      </c>
      <c r="C42" s="5">
        <v>3509</v>
      </c>
      <c r="F42" s="1"/>
      <c r="H42" s="20">
        <v>5897</v>
      </c>
    </row>
    <row r="43" spans="2:12" x14ac:dyDescent="0.2">
      <c r="B43" s="11" t="s">
        <v>55</v>
      </c>
      <c r="C43" s="21">
        <f>C40*C42</f>
        <v>47932.94</v>
      </c>
      <c r="E43" s="3"/>
      <c r="H43" s="22">
        <f>C40*H42</f>
        <v>80553.02</v>
      </c>
      <c r="J43" s="28" t="str">
        <f ca="1">_xlfn.FORMULATEXT(C43)</f>
        <v>=C40*C42</v>
      </c>
      <c r="L43" s="7" t="str">
        <f ca="1">_xlfn.FORMULATEXT(H43)</f>
        <v>=C40*H42</v>
      </c>
    </row>
    <row r="44" spans="2:12" x14ac:dyDescent="0.2">
      <c r="B44" s="11" t="s">
        <v>41</v>
      </c>
      <c r="C44" s="21">
        <f>SUM(C8:C11)</f>
        <v>13250</v>
      </c>
      <c r="E44" s="3"/>
      <c r="H44" s="22">
        <f>C44-SUM(D21:H21)</f>
        <v>8124.7370000000001</v>
      </c>
      <c r="J44" s="28" t="str">
        <f ca="1">_xlfn.FORMULATEXT(C44)</f>
        <v>=SUM(C8:C11)</v>
      </c>
      <c r="L44" s="7" t="str">
        <f t="shared" ref="L44:L47" ca="1" si="5">_xlfn.FORMULATEXT(H44)</f>
        <v>=C44-SUM(D21:H21)</v>
      </c>
    </row>
    <row r="45" spans="2:12" x14ac:dyDescent="0.2">
      <c r="B45" s="11" t="s">
        <v>43</v>
      </c>
      <c r="C45" s="21">
        <f>C43-C44</f>
        <v>34682.94</v>
      </c>
      <c r="E45" s="3"/>
      <c r="H45" s="22">
        <f>H43-H44</f>
        <v>72428.28300000001</v>
      </c>
      <c r="J45" s="28" t="str">
        <f ca="1">_xlfn.FORMULATEXT(C45)</f>
        <v>=C43-C44</v>
      </c>
      <c r="L45" s="7" t="str">
        <f t="shared" ca="1" si="5"/>
        <v>=H43-H44</v>
      </c>
    </row>
    <row r="46" spans="2:12" x14ac:dyDescent="0.2">
      <c r="B46" s="11" t="s">
        <v>49</v>
      </c>
      <c r="C46" s="21">
        <f>C36</f>
        <v>4376</v>
      </c>
      <c r="E46" s="30"/>
      <c r="G46" s="23" t="s">
        <v>40</v>
      </c>
      <c r="H46" s="25">
        <f>RATE(H41,0,-C46,H45)</f>
        <v>0.75293646453033591</v>
      </c>
      <c r="J46" s="28" t="str">
        <f ca="1">_xlfn.FORMULATEXT(C46)</f>
        <v>=C36</v>
      </c>
      <c r="L46" s="7" t="str">
        <f t="shared" ca="1" si="5"/>
        <v>=RATE(H41,0,-C46,H45)</v>
      </c>
    </row>
    <row r="47" spans="2:12" ht="16" thickBot="1" x14ac:dyDescent="0.25">
      <c r="B47" s="13"/>
      <c r="C47" s="14"/>
      <c r="D47" s="14"/>
      <c r="E47" s="31"/>
      <c r="F47" s="14"/>
      <c r="G47" s="27" t="s">
        <v>50</v>
      </c>
      <c r="H47" s="26">
        <f>H45/C46</f>
        <v>16.551252970749545</v>
      </c>
      <c r="L47" s="7" t="str">
        <f t="shared" ca="1" si="5"/>
        <v>=H45/C46</v>
      </c>
    </row>
    <row r="49" spans="2:8" x14ac:dyDescent="0.2">
      <c r="B49" t="s">
        <v>56</v>
      </c>
    </row>
    <row r="61" spans="2:8" ht="409.6" x14ac:dyDescent="0.2">
      <c r="B61" s="50" t="s">
        <v>57</v>
      </c>
    </row>
    <row r="64" spans="2:8" x14ac:dyDescent="0.2">
      <c r="C64" s="45"/>
      <c r="D64" s="45"/>
      <c r="E64" s="46"/>
      <c r="F64" s="46"/>
      <c r="G64" s="46"/>
      <c r="H64" s="46"/>
    </row>
  </sheetData>
  <pageMargins left="0.7" right="0.7" top="0.75" bottom="0.75" header="0.3" footer="0.3"/>
  <pageSetup paperSize="12" fitToWidth="0"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A46FC-7833-40D6-A4A2-C40813E674E5}">
  <dimension ref="A1:A3"/>
  <sheetViews>
    <sheetView workbookViewId="0">
      <selection activeCell="B3" sqref="B3"/>
    </sheetView>
  </sheetViews>
  <sheetFormatPr baseColWidth="10" defaultColWidth="8.83203125" defaultRowHeight="15" x14ac:dyDescent="0.2"/>
  <cols>
    <col min="1" max="1" width="61.1640625" customWidth="1"/>
  </cols>
  <sheetData>
    <row r="1" spans="1:1" x14ac:dyDescent="0.2">
      <c r="A1" t="s">
        <v>58</v>
      </c>
    </row>
    <row r="2" spans="1:1" x14ac:dyDescent="0.2">
      <c r="A2" t="s">
        <v>59</v>
      </c>
    </row>
    <row r="3" spans="1:1" ht="144" x14ac:dyDescent="0.2">
      <c r="A3" s="51" t="s">
        <v>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C55F869278CE43AC20FBB21C1B0170" ma:contentTypeVersion="13" ma:contentTypeDescription="Create a new document." ma:contentTypeScope="" ma:versionID="cc79901e548ae4ad96814196134d4ce6">
  <xsd:schema xmlns:xsd="http://www.w3.org/2001/XMLSchema" xmlns:xs="http://www.w3.org/2001/XMLSchema" xmlns:p="http://schemas.microsoft.com/office/2006/metadata/properties" xmlns:ns3="29f545f0-f811-47ee-b2ca-d00ba4d5b8d4" xmlns:ns4="ffb5a771-0fab-42c4-ac8b-8167a0ffe344" targetNamespace="http://schemas.microsoft.com/office/2006/metadata/properties" ma:root="true" ma:fieldsID="75c7f0ef41e0fd260e84a5b13bfcc5ee" ns3:_="" ns4:_="">
    <xsd:import namespace="29f545f0-f811-47ee-b2ca-d00ba4d5b8d4"/>
    <xsd:import namespace="ffb5a771-0fab-42c4-ac8b-8167a0ffe34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f545f0-f811-47ee-b2ca-d00ba4d5b8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b5a771-0fab-42c4-ac8b-8167a0ffe34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4FA717-2D53-4B91-87E4-B15E6B6DC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f545f0-f811-47ee-b2ca-d00ba4d5b8d4"/>
    <ds:schemaRef ds:uri="ffb5a771-0fab-42c4-ac8b-8167a0ffe3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FFC92C-F2E2-47E9-BB06-AEA123546C68}">
  <ds:schemaRefs>
    <ds:schemaRef ds:uri="http://purl.org/dc/dcmitype/"/>
    <ds:schemaRef ds:uri="http://schemas.microsoft.com/office/2006/documentManagement/types"/>
    <ds:schemaRef ds:uri="http://www.w3.org/XML/1998/namespace"/>
    <ds:schemaRef ds:uri="http://purl.org/dc/term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ffb5a771-0fab-42c4-ac8b-8167a0ffe344"/>
    <ds:schemaRef ds:uri="29f545f0-f811-47ee-b2ca-d00ba4d5b8d4"/>
  </ds:schemaRefs>
</ds:datastoreItem>
</file>

<file path=customXml/itemProps3.xml><?xml version="1.0" encoding="utf-8"?>
<ds:datastoreItem xmlns:ds="http://schemas.openxmlformats.org/officeDocument/2006/customXml" ds:itemID="{ABA1A4B5-ACDC-4C0E-883D-69DE5E5D0483}">
  <ds:schemaRefs>
    <ds:schemaRef ds:uri="http://schemas.microsoft.com/sharepoint/v3/contenttype/forms"/>
  </ds:schemaRefs>
</ds:datastoreItem>
</file>

<file path=docMetadata/LabelInfo.xml><?xml version="1.0" encoding="utf-8"?>
<clbl:labelList xmlns:clbl="http://schemas.microsoft.com/office/2020/mipLabelMetadata">
  <clbl:label id="{22177130-642f-41d9-9211-74237ad5687d}" enabled="0" method="" siteId="{22177130-642f-41d9-9211-74237ad5687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Valuation</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Joerg Picard</dc:creator>
  <cp:keywords/>
  <dc:description/>
  <cp:lastModifiedBy>Alshaibani, Ajwan</cp:lastModifiedBy>
  <cp:revision/>
  <dcterms:created xsi:type="dcterms:W3CDTF">2015-10-28T18:44:02Z</dcterms:created>
  <dcterms:modified xsi:type="dcterms:W3CDTF">2026-04-27T18:07:52Z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0x01010056C55F869278CE43AC20FBB21C1B0170</vt:lpwstr>
  </property>
</Properties>
</file>